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otor torque curve" sheetId="2" r:id="rId6"/>
  </sheets>
  <definedNames/>
  <calcPr/>
</workbook>
</file>

<file path=xl/sharedStrings.xml><?xml version="1.0" encoding="utf-8"?>
<sst xmlns="http://schemas.openxmlformats.org/spreadsheetml/2006/main" count="19" uniqueCount="19">
  <si>
    <t>Laptime</t>
  </si>
  <si>
    <t>GG radius</t>
  </si>
  <si>
    <t>Turn 1 r_apex</t>
  </si>
  <si>
    <t>Turn 1 v_apex</t>
  </si>
  <si>
    <t>Section</t>
  </si>
  <si>
    <t>Length</t>
  </si>
  <si>
    <t>Track Data</t>
  </si>
  <si>
    <t>Speed</t>
  </si>
  <si>
    <t>dx</t>
  </si>
  <si>
    <t>x</t>
  </si>
  <si>
    <t>r</t>
  </si>
  <si>
    <t>Accel T1</t>
  </si>
  <si>
    <t>Decel T1</t>
  </si>
  <si>
    <t>Final v</t>
  </si>
  <si>
    <t>Time</t>
  </si>
  <si>
    <t>Straight</t>
  </si>
  <si>
    <t>Turn 1</t>
  </si>
  <si>
    <t>RPM</t>
  </si>
  <si>
    <t>torque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</si>
</sst>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3" fillId="0" fontId="2" numFmtId="0" xfId="0" applyBorder="1" applyFont="1"/>
    <xf borderId="2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8.88"/>
    <col customWidth="1" min="3" max="5" width="6.38"/>
  </cols>
  <sheetData>
    <row r="1">
      <c r="A1" s="1" t="s">
        <v>0</v>
      </c>
      <c r="B1" s="2">
        <f>SUM(I8:I22)</f>
        <v>16.84749672</v>
      </c>
    </row>
    <row r="2">
      <c r="A2" s="1" t="s">
        <v>1</v>
      </c>
      <c r="B2" s="1">
        <v>1.0</v>
      </c>
    </row>
    <row r="3">
      <c r="A3" s="1" t="s">
        <v>2</v>
      </c>
      <c r="B3" s="1">
        <v>50.0</v>
      </c>
    </row>
    <row r="4">
      <c r="A4" s="1" t="s">
        <v>3</v>
      </c>
      <c r="B4" s="2">
        <f>sqrt(B2*9.81*B3)</f>
        <v>22.14723459</v>
      </c>
    </row>
    <row r="6">
      <c r="A6" s="3" t="s">
        <v>4</v>
      </c>
      <c r="B6" s="4" t="s">
        <v>5</v>
      </c>
      <c r="C6" s="5" t="s">
        <v>6</v>
      </c>
      <c r="D6" s="6"/>
      <c r="E6" s="7"/>
      <c r="F6" s="5" t="s">
        <v>7</v>
      </c>
      <c r="G6" s="6"/>
      <c r="H6" s="6"/>
      <c r="I6" s="7"/>
    </row>
    <row r="7">
      <c r="A7" s="8"/>
      <c r="B7" s="9"/>
      <c r="C7" s="10" t="s">
        <v>8</v>
      </c>
      <c r="D7" s="11" t="s">
        <v>9</v>
      </c>
      <c r="E7" s="12" t="s">
        <v>10</v>
      </c>
      <c r="F7" s="10" t="s">
        <v>11</v>
      </c>
      <c r="G7" s="11" t="s">
        <v>12</v>
      </c>
      <c r="H7" s="11" t="s">
        <v>13</v>
      </c>
      <c r="I7" s="12" t="s">
        <v>14</v>
      </c>
    </row>
    <row r="8">
      <c r="A8" s="13" t="s">
        <v>15</v>
      </c>
      <c r="B8" s="13">
        <v>500.0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2">
        <f t="shared" ref="H8:H22" si="1">min(F8,G8)</f>
        <v>0</v>
      </c>
      <c r="I8" s="1">
        <v>0.0</v>
      </c>
    </row>
    <row r="9">
      <c r="C9" s="1">
        <v>50.0</v>
      </c>
      <c r="D9" s="2">
        <f t="shared" ref="D9:D22" si="2">D8+C9</f>
        <v>50</v>
      </c>
      <c r="E9" s="1">
        <v>0.0</v>
      </c>
      <c r="F9" s="2">
        <f t="shared" ref="F9:F18" si="3">sqrt(F8^2 + 2*$B$2*9.81*C9)</f>
        <v>31.32091953</v>
      </c>
      <c r="G9" s="2">
        <f t="shared" ref="G9:G18" si="4">sqrt(G10^2 + 2*$B$2*9.81*C9)</f>
        <v>101.4913789</v>
      </c>
      <c r="H9" s="2">
        <f t="shared" si="1"/>
        <v>31.32091953</v>
      </c>
      <c r="I9" s="2">
        <f t="shared" ref="I9:I22" si="5">C9/H9</f>
        <v>1.596377142</v>
      </c>
    </row>
    <row r="10">
      <c r="C10" s="1">
        <v>50.0</v>
      </c>
      <c r="D10" s="2">
        <f t="shared" si="2"/>
        <v>100</v>
      </c>
      <c r="E10" s="1">
        <v>0.0</v>
      </c>
      <c r="F10" s="2">
        <f t="shared" si="3"/>
        <v>44.29446918</v>
      </c>
      <c r="G10" s="2">
        <f t="shared" si="4"/>
        <v>96.53755746</v>
      </c>
      <c r="H10" s="2">
        <f t="shared" si="1"/>
        <v>44.29446918</v>
      </c>
      <c r="I10" s="2">
        <f t="shared" si="5"/>
        <v>1.128809102</v>
      </c>
    </row>
    <row r="11">
      <c r="C11" s="1">
        <v>50.0</v>
      </c>
      <c r="D11" s="2">
        <f t="shared" si="2"/>
        <v>150</v>
      </c>
      <c r="E11" s="1">
        <v>0.0</v>
      </c>
      <c r="F11" s="2">
        <f t="shared" si="3"/>
        <v>54.24942396</v>
      </c>
      <c r="G11" s="2">
        <f t="shared" si="4"/>
        <v>91.31538753</v>
      </c>
      <c r="H11" s="2">
        <f t="shared" si="1"/>
        <v>54.24942396</v>
      </c>
      <c r="I11" s="2">
        <f t="shared" si="5"/>
        <v>0.9216687727</v>
      </c>
    </row>
    <row r="12">
      <c r="C12" s="1">
        <v>50.0</v>
      </c>
      <c r="D12" s="2">
        <f t="shared" si="2"/>
        <v>200</v>
      </c>
      <c r="E12" s="1">
        <v>0.0</v>
      </c>
      <c r="F12" s="2">
        <f t="shared" si="3"/>
        <v>62.64183905</v>
      </c>
      <c r="G12" s="2">
        <f t="shared" si="4"/>
        <v>85.77587073</v>
      </c>
      <c r="H12" s="2">
        <f t="shared" si="1"/>
        <v>62.64183905</v>
      </c>
      <c r="I12" s="2">
        <f t="shared" si="5"/>
        <v>0.798188571</v>
      </c>
    </row>
    <row r="13">
      <c r="C13" s="1">
        <v>50.0</v>
      </c>
      <c r="D13" s="2">
        <f t="shared" si="2"/>
        <v>250</v>
      </c>
      <c r="E13" s="1">
        <v>0.0</v>
      </c>
      <c r="F13" s="2">
        <f t="shared" si="3"/>
        <v>70.03570518</v>
      </c>
      <c r="G13" s="2">
        <f t="shared" si="4"/>
        <v>79.85298993</v>
      </c>
      <c r="H13" s="2">
        <f t="shared" si="1"/>
        <v>70.03570518</v>
      </c>
      <c r="I13" s="2">
        <f t="shared" si="5"/>
        <v>0.7139215615</v>
      </c>
    </row>
    <row r="14">
      <c r="C14" s="1">
        <v>50.0</v>
      </c>
      <c r="D14" s="2">
        <f t="shared" si="2"/>
        <v>300</v>
      </c>
      <c r="E14" s="1">
        <v>0.0</v>
      </c>
      <c r="F14" s="2">
        <f t="shared" si="3"/>
        <v>76.72027112</v>
      </c>
      <c r="G14" s="2">
        <f t="shared" si="4"/>
        <v>73.45406728</v>
      </c>
      <c r="H14" s="2">
        <f t="shared" si="1"/>
        <v>73.45406728</v>
      </c>
      <c r="I14" s="2">
        <f t="shared" si="5"/>
        <v>0.6806975005</v>
      </c>
    </row>
    <row r="15">
      <c r="C15" s="1">
        <v>50.0</v>
      </c>
      <c r="D15" s="2">
        <f t="shared" si="2"/>
        <v>350</v>
      </c>
      <c r="E15" s="1">
        <v>0.0</v>
      </c>
      <c r="F15" s="2">
        <f t="shared" si="3"/>
        <v>82.8673639</v>
      </c>
      <c r="G15" s="2">
        <f t="shared" si="4"/>
        <v>66.44170377</v>
      </c>
      <c r="H15" s="2">
        <f t="shared" si="1"/>
        <v>66.44170377</v>
      </c>
      <c r="I15" s="2">
        <f t="shared" si="5"/>
        <v>0.7525394016</v>
      </c>
    </row>
    <row r="16">
      <c r="C16" s="1">
        <v>50.0</v>
      </c>
      <c r="D16" s="2">
        <f t="shared" si="2"/>
        <v>400</v>
      </c>
      <c r="E16" s="1">
        <v>0.0</v>
      </c>
      <c r="F16" s="2">
        <f t="shared" si="3"/>
        <v>88.58893836</v>
      </c>
      <c r="G16" s="2">
        <f t="shared" si="4"/>
        <v>58.59607495</v>
      </c>
      <c r="H16" s="2">
        <f t="shared" si="1"/>
        <v>58.59607495</v>
      </c>
      <c r="I16" s="2">
        <f t="shared" si="5"/>
        <v>0.8532994751</v>
      </c>
    </row>
    <row r="17">
      <c r="C17" s="1">
        <v>50.0</v>
      </c>
      <c r="D17" s="2">
        <f t="shared" si="2"/>
        <v>450</v>
      </c>
      <c r="E17" s="1">
        <v>0.0</v>
      </c>
      <c r="F17" s="2">
        <f t="shared" si="3"/>
        <v>93.96275858</v>
      </c>
      <c r="G17" s="2">
        <f t="shared" si="4"/>
        <v>49.52272206</v>
      </c>
      <c r="H17" s="2">
        <f t="shared" si="1"/>
        <v>49.52272206</v>
      </c>
      <c r="I17" s="2">
        <f t="shared" si="5"/>
        <v>1.009637555</v>
      </c>
    </row>
    <row r="18">
      <c r="C18" s="1">
        <v>50.0</v>
      </c>
      <c r="D18" s="2">
        <f t="shared" si="2"/>
        <v>500</v>
      </c>
      <c r="E18" s="1">
        <v>0.0</v>
      </c>
      <c r="F18" s="2">
        <f t="shared" si="3"/>
        <v>99.04544412</v>
      </c>
      <c r="G18" s="2">
        <f t="shared" si="4"/>
        <v>38.36013556</v>
      </c>
      <c r="H18" s="2">
        <f t="shared" si="1"/>
        <v>38.36013556</v>
      </c>
      <c r="I18" s="2">
        <f t="shared" si="5"/>
        <v>1.303436478</v>
      </c>
    </row>
    <row r="19">
      <c r="A19" s="13" t="s">
        <v>16</v>
      </c>
      <c r="B19" s="14">
        <f>3.14*B3</f>
        <v>157</v>
      </c>
      <c r="C19" s="1">
        <v>50.0</v>
      </c>
      <c r="D19" s="2">
        <f t="shared" si="2"/>
        <v>550</v>
      </c>
      <c r="E19" s="1">
        <f t="shared" ref="E19:E22" si="7">$B$3</f>
        <v>50</v>
      </c>
      <c r="F19" s="2">
        <f t="shared" ref="F19:G19" si="6">$B$4</f>
        <v>22.14723459</v>
      </c>
      <c r="G19" s="2">
        <f t="shared" si="6"/>
        <v>22.14723459</v>
      </c>
      <c r="H19" s="2">
        <f t="shared" si="1"/>
        <v>22.14723459</v>
      </c>
      <c r="I19" s="2">
        <f t="shared" si="5"/>
        <v>2.257618205</v>
      </c>
    </row>
    <row r="20">
      <c r="C20" s="1">
        <v>50.0</v>
      </c>
      <c r="D20" s="2">
        <f t="shared" si="2"/>
        <v>600</v>
      </c>
      <c r="E20" s="1">
        <f t="shared" si="7"/>
        <v>50</v>
      </c>
      <c r="F20" s="2">
        <f t="shared" ref="F20:G20" si="8">$B$4</f>
        <v>22.14723459</v>
      </c>
      <c r="G20" s="2">
        <f t="shared" si="8"/>
        <v>22.14723459</v>
      </c>
      <c r="H20" s="2">
        <f t="shared" si="1"/>
        <v>22.14723459</v>
      </c>
      <c r="I20" s="2">
        <f t="shared" si="5"/>
        <v>2.257618205</v>
      </c>
    </row>
    <row r="21">
      <c r="C21" s="1">
        <v>50.0</v>
      </c>
      <c r="D21" s="2">
        <f t="shared" si="2"/>
        <v>650</v>
      </c>
      <c r="E21" s="1">
        <f t="shared" si="7"/>
        <v>50</v>
      </c>
      <c r="F21" s="2">
        <f t="shared" ref="F21:G21" si="9">$B$4</f>
        <v>22.14723459</v>
      </c>
      <c r="G21" s="2">
        <f t="shared" si="9"/>
        <v>22.14723459</v>
      </c>
      <c r="H21" s="2">
        <f t="shared" si="1"/>
        <v>22.14723459</v>
      </c>
      <c r="I21" s="2">
        <f t="shared" si="5"/>
        <v>2.257618205</v>
      </c>
    </row>
    <row r="22">
      <c r="C22" s="1">
        <v>7.0</v>
      </c>
      <c r="D22" s="2">
        <f t="shared" si="2"/>
        <v>657</v>
      </c>
      <c r="E22" s="1">
        <f t="shared" si="7"/>
        <v>50</v>
      </c>
      <c r="F22" s="2">
        <f t="shared" ref="F22:G22" si="10">$B$4</f>
        <v>22.14723459</v>
      </c>
      <c r="G22" s="2">
        <f t="shared" si="10"/>
        <v>22.14723459</v>
      </c>
      <c r="H22" s="2">
        <f t="shared" si="1"/>
        <v>22.14723459</v>
      </c>
      <c r="I22" s="2">
        <f t="shared" si="5"/>
        <v>0.3160665487</v>
      </c>
    </row>
  </sheetData>
  <mergeCells count="8">
    <mergeCell ref="A19:A22"/>
    <mergeCell ref="B19:B22"/>
    <mergeCell ref="A6:A7"/>
    <mergeCell ref="B6:B7"/>
    <mergeCell ref="C6:E6"/>
    <mergeCell ref="F6:I6"/>
    <mergeCell ref="A8:A18"/>
    <mergeCell ref="B8:B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</row>
    <row r="2">
      <c r="A2" s="1">
        <v>0.669972683</v>
      </c>
      <c r="B2" s="1">
        <v>230.2535546</v>
      </c>
    </row>
    <row r="3">
      <c r="A3" s="1">
        <v>50.66205277</v>
      </c>
      <c r="B3" s="1">
        <v>230.2197308</v>
      </c>
    </row>
    <row r="4">
      <c r="A4" s="1">
        <v>157.9218215</v>
      </c>
      <c r="B4" s="1">
        <v>230.2197308</v>
      </c>
    </row>
    <row r="5">
      <c r="A5" s="1">
        <v>265.1815902</v>
      </c>
      <c r="B5" s="1">
        <v>230.2197308</v>
      </c>
    </row>
    <row r="6">
      <c r="A6" s="1">
        <v>372.441359</v>
      </c>
      <c r="B6" s="1">
        <v>230.2197308</v>
      </c>
    </row>
    <row r="7">
      <c r="A7" s="1">
        <v>479.7011277</v>
      </c>
      <c r="B7" s="1">
        <v>230.2197308</v>
      </c>
    </row>
    <row r="8">
      <c r="A8" s="1">
        <v>586.9608964</v>
      </c>
      <c r="B8" s="1">
        <v>230.2197308</v>
      </c>
    </row>
    <row r="9">
      <c r="A9" s="1">
        <v>694.2206651</v>
      </c>
      <c r="B9" s="1">
        <v>230.2197308</v>
      </c>
    </row>
    <row r="10">
      <c r="A10" s="1">
        <v>801.7851491</v>
      </c>
      <c r="B10" s="1">
        <v>230.3330272</v>
      </c>
    </row>
    <row r="11">
      <c r="A11" s="1">
        <v>908.7402026</v>
      </c>
      <c r="B11" s="1">
        <v>230.2197308</v>
      </c>
    </row>
    <row r="12">
      <c r="A12" s="1">
        <v>1015.999971</v>
      </c>
      <c r="B12" s="1">
        <v>230.2197308</v>
      </c>
    </row>
    <row r="13">
      <c r="A13" s="1">
        <v>1123.25974</v>
      </c>
      <c r="B13" s="1">
        <v>230.2197308</v>
      </c>
    </row>
    <row r="14">
      <c r="A14" s="1">
        <v>1230.519509</v>
      </c>
      <c r="B14" s="1">
        <v>230.2197308</v>
      </c>
    </row>
    <row r="15">
      <c r="A15" s="1">
        <v>1331.075542</v>
      </c>
      <c r="B15" s="1">
        <v>230.2197308</v>
      </c>
    </row>
    <row r="16">
      <c r="A16" s="1">
        <v>1438.335311</v>
      </c>
      <c r="B16" s="1">
        <v>230.2197308</v>
      </c>
    </row>
    <row r="17">
      <c r="A17" s="1">
        <v>1545.595079</v>
      </c>
      <c r="B17" s="1">
        <v>230.2197308</v>
      </c>
    </row>
    <row r="18">
      <c r="A18" s="1">
        <v>1652.854848</v>
      </c>
      <c r="B18" s="1">
        <v>230.2197308</v>
      </c>
    </row>
    <row r="19">
      <c r="A19" s="1">
        <v>1760.114617</v>
      </c>
      <c r="B19" s="1">
        <v>230.2197308</v>
      </c>
    </row>
    <row r="20">
      <c r="A20" s="1">
        <v>1867.374386</v>
      </c>
      <c r="B20" s="1">
        <v>230.2197308</v>
      </c>
    </row>
    <row r="21">
      <c r="A21" s="1">
        <v>1974.634154</v>
      </c>
      <c r="B21" s="1">
        <v>230.2197308</v>
      </c>
    </row>
    <row r="22">
      <c r="A22" s="1">
        <v>2081.893923</v>
      </c>
      <c r="B22" s="1">
        <v>230.2197308</v>
      </c>
    </row>
    <row r="23">
      <c r="A23" s="1">
        <v>2189.153692</v>
      </c>
      <c r="B23" s="1">
        <v>230.2197308</v>
      </c>
    </row>
    <row r="24">
      <c r="A24" s="1">
        <v>2296.413461</v>
      </c>
      <c r="B24" s="1">
        <v>230.2197308</v>
      </c>
    </row>
    <row r="25">
      <c r="A25" s="1">
        <v>2403.368514</v>
      </c>
      <c r="B25" s="1">
        <v>230.3330272</v>
      </c>
    </row>
    <row r="26">
      <c r="A26" s="1">
        <v>2510.932998</v>
      </c>
      <c r="B26" s="1">
        <v>230.2197308</v>
      </c>
    </row>
    <row r="27">
      <c r="A27" s="1">
        <v>2612.60632</v>
      </c>
      <c r="B27" s="1">
        <v>230.158187</v>
      </c>
    </row>
    <row r="28">
      <c r="A28" s="1">
        <v>2720.759921</v>
      </c>
      <c r="B28" s="1">
        <v>230.0812574</v>
      </c>
    </row>
    <row r="29">
      <c r="A29" s="1">
        <v>2826.008569</v>
      </c>
      <c r="B29" s="1">
        <v>229.942784</v>
      </c>
    </row>
    <row r="30">
      <c r="A30" s="1">
        <v>2933.268337</v>
      </c>
      <c r="B30" s="1">
        <v>228.2642088</v>
      </c>
    </row>
    <row r="31">
      <c r="A31" s="1">
        <v>3040.528106</v>
      </c>
      <c r="B31" s="1">
        <v>220.2776953</v>
      </c>
    </row>
    <row r="32">
      <c r="A32" s="1">
        <v>3140.087902</v>
      </c>
      <c r="B32" s="1">
        <v>213.3376885</v>
      </c>
    </row>
    <row r="33">
      <c r="A33" s="1">
        <v>3210.749726</v>
      </c>
      <c r="B33" s="1">
        <v>208.6552417</v>
      </c>
    </row>
    <row r="34">
      <c r="A34" s="1">
        <v>3309.794817</v>
      </c>
      <c r="B34" s="1">
        <v>202.4236054</v>
      </c>
    </row>
    <row r="35">
      <c r="A35" s="1">
        <v>3415.937297</v>
      </c>
      <c r="B35" s="1">
        <v>196.1865995</v>
      </c>
    </row>
    <row r="36">
      <c r="A36" s="1">
        <v>3523.197065</v>
      </c>
      <c r="B36" s="1">
        <v>190.2705113</v>
      </c>
    </row>
    <row r="37">
      <c r="A37" s="1">
        <v>3630.456834</v>
      </c>
      <c r="B37" s="1">
        <v>184.641364</v>
      </c>
    </row>
    <row r="38">
      <c r="A38" s="1">
        <v>3737.716603</v>
      </c>
      <c r="B38" s="1">
        <v>179.3424494</v>
      </c>
    </row>
    <row r="39">
      <c r="A39" s="1">
        <v>3844.976372</v>
      </c>
      <c r="B39" s="1">
        <v>174.3909126</v>
      </c>
    </row>
    <row r="40">
      <c r="A40" s="1">
        <v>3945.532405</v>
      </c>
      <c r="B40" s="1">
        <v>169.9386644</v>
      </c>
    </row>
    <row r="41">
      <c r="A41" s="1">
        <v>4053.706319</v>
      </c>
      <c r="B41" s="1">
        <v>165.4507095</v>
      </c>
    </row>
    <row r="42">
      <c r="A42" s="1">
        <v>4160.051942</v>
      </c>
      <c r="B42" s="1">
        <v>161.230621</v>
      </c>
    </row>
    <row r="43">
      <c r="A43" s="1">
        <v>4267.311711</v>
      </c>
      <c r="B43" s="1">
        <v>157.2236064</v>
      </c>
    </row>
    <row r="44">
      <c r="A44" s="1">
        <v>4374.57148</v>
      </c>
      <c r="B44" s="1">
        <v>153.4607535</v>
      </c>
    </row>
    <row r="45">
      <c r="A45" s="1">
        <v>4480.917103</v>
      </c>
      <c r="B45" s="1">
        <v>149.9403181</v>
      </c>
    </row>
    <row r="46">
      <c r="A46" s="1">
        <v>4589.091017</v>
      </c>
      <c r="B46" s="1">
        <v>146.6016031</v>
      </c>
    </row>
    <row r="47">
      <c r="A47" s="1">
        <v>4694.339665</v>
      </c>
      <c r="B47" s="1">
        <v>143.5183743</v>
      </c>
    </row>
    <row r="48">
      <c r="A48" s="1">
        <v>4801.477548</v>
      </c>
      <c r="B48" s="1">
        <v>140.5572875</v>
      </c>
    </row>
    <row r="49">
      <c r="A49" s="1">
        <v>4907.518455</v>
      </c>
      <c r="B49" s="1">
        <v>137.7911831</v>
      </c>
    </row>
    <row r="50">
      <c r="A50" s="1">
        <v>5014.778224</v>
      </c>
      <c r="B50" s="1">
        <v>135.0915126</v>
      </c>
    </row>
    <row r="51">
      <c r="A51" s="1">
        <v>5122.037993</v>
      </c>
      <c r="B51" s="1">
        <v>132.5076581</v>
      </c>
    </row>
    <row r="52">
      <c r="A52" s="1">
        <v>5227.957015</v>
      </c>
      <c r="B52" s="1">
        <v>130.047608</v>
      </c>
    </row>
    <row r="53">
      <c r="A53" s="1">
        <v>5326.501927</v>
      </c>
      <c r="B53" s="1">
        <v>127.9358716</v>
      </c>
    </row>
    <row r="54">
      <c r="A54" s="1">
        <v>5433.456981</v>
      </c>
      <c r="B54" s="1">
        <v>125.6093481</v>
      </c>
    </row>
  </sheetData>
  <drawing r:id="rId1"/>
</worksheet>
</file>